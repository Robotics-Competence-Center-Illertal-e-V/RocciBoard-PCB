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29b062107d55610/Projekte/RocciBoard/documentation/"/>
    </mc:Choice>
  </mc:AlternateContent>
  <xr:revisionPtr revIDLastSave="121" documentId="8_{B85C2EBE-73F5-4AF5-B0DA-DC13575208B2}" xr6:coauthVersionLast="47" xr6:coauthVersionMax="47" xr10:uidLastSave="{9DA73E36-A67B-44A6-B435-E550CE6852FA}"/>
  <bookViews>
    <workbookView xWindow="-96" yWindow="0" windowWidth="11712" windowHeight="12336" xr2:uid="{BA903E0A-C8C5-4148-A169-74C3CF03344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1" l="1"/>
  <c r="D23" i="1" s="1"/>
  <c r="B13" i="1"/>
  <c r="B12" i="1"/>
  <c r="E19" i="1"/>
  <c r="B24" i="1" s="1"/>
  <c r="D24" i="1" s="1"/>
  <c r="E17" i="1"/>
  <c r="B22" i="1" s="1"/>
  <c r="D22" i="1" s="1"/>
  <c r="B21" i="1"/>
  <c r="D21" i="1" s="1"/>
  <c r="B11" i="1"/>
  <c r="B10" i="1"/>
  <c r="E11" i="1" l="1"/>
  <c r="E13" i="1"/>
</calcChain>
</file>

<file path=xl/sharedStrings.xml><?xml version="1.0" encoding="utf-8"?>
<sst xmlns="http://schemas.openxmlformats.org/spreadsheetml/2006/main" count="46" uniqueCount="21">
  <si>
    <t>V</t>
  </si>
  <si>
    <t>kOhm</t>
  </si>
  <si>
    <t>R_high</t>
  </si>
  <si>
    <t>V_UVLOF</t>
  </si>
  <si>
    <t>V_OVP</t>
  </si>
  <si>
    <t>U_OVP1</t>
  </si>
  <si>
    <t>U_OVP2</t>
  </si>
  <si>
    <t>U_UVP1</t>
  </si>
  <si>
    <t>U_UVP2</t>
  </si>
  <si>
    <t>R_UVP1</t>
  </si>
  <si>
    <t>R_UVP2</t>
  </si>
  <si>
    <t>Rser</t>
  </si>
  <si>
    <t>R_OVP1</t>
  </si>
  <si>
    <t>R_OVP2</t>
  </si>
  <si>
    <t>Aus E24 Reihe</t>
  </si>
  <si>
    <t xml:space="preserve">Rsum </t>
  </si>
  <si>
    <t>LCSC</t>
  </si>
  <si>
    <t>C23018</t>
  </si>
  <si>
    <t>C22978</t>
  </si>
  <si>
    <t>C13167</t>
  </si>
  <si>
    <t>C23162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</si>
</sst>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 tint="-0.1499984740745262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2" fontId="1" fillId="0" borderId="0" xfId="0" applyNumberFormat="1" applyFon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AD6E1-9B44-49E3-A34D-F192A7AF803A}">
  <dimension ref="A1:G24"/>
  <sheetViews>
    <sheetView tabSelected="1" topLeftCell="A15" zoomScale="160" zoomScaleNormal="160" workbookViewId="0">
      <selection activeCell="G19" sqref="G19"/>
    </sheetView>
  </sheetViews>
  <sheetFormatPr baseColWidth="10" defaultRowHeight="14.4" x14ac:dyDescent="0.3"/>
  <cols>
    <col min="2" max="2" width="12" bestFit="1" customWidth="1"/>
  </cols>
  <sheetData>
    <row r="1" spans="1:7" x14ac:dyDescent="0.3">
      <c r="A1" t="s">
        <v>2</v>
      </c>
      <c r="B1" s="1">
        <v>100</v>
      </c>
      <c r="C1" t="s">
        <v>1</v>
      </c>
    </row>
    <row r="2" spans="1:7" x14ac:dyDescent="0.3">
      <c r="A2" t="s">
        <v>3</v>
      </c>
      <c r="B2" s="1">
        <v>0.5</v>
      </c>
      <c r="C2" t="s">
        <v>0</v>
      </c>
    </row>
    <row r="3" spans="1:7" x14ac:dyDescent="0.3">
      <c r="A3" t="s">
        <v>4</v>
      </c>
      <c r="B3" s="1">
        <v>0.6</v>
      </c>
      <c r="C3" t="s">
        <v>0</v>
      </c>
    </row>
    <row r="4" spans="1:7" x14ac:dyDescent="0.3">
      <c r="B4" s="1"/>
    </row>
    <row r="5" spans="1:7" x14ac:dyDescent="0.3">
      <c r="A5" t="s">
        <v>7</v>
      </c>
      <c r="B5" s="1">
        <v>11.8</v>
      </c>
      <c r="C5" t="s">
        <v>0</v>
      </c>
    </row>
    <row r="6" spans="1:7" x14ac:dyDescent="0.3">
      <c r="A6" t="s">
        <v>8</v>
      </c>
      <c r="B6" s="1">
        <v>6.8</v>
      </c>
      <c r="C6" t="s">
        <v>0</v>
      </c>
    </row>
    <row r="7" spans="1:7" x14ac:dyDescent="0.3">
      <c r="A7" t="s">
        <v>5</v>
      </c>
      <c r="B7" s="1">
        <v>15</v>
      </c>
      <c r="C7" t="s">
        <v>0</v>
      </c>
    </row>
    <row r="8" spans="1:7" x14ac:dyDescent="0.3">
      <c r="A8" t="s">
        <v>6</v>
      </c>
      <c r="B8" s="1">
        <v>9</v>
      </c>
      <c r="C8" t="s">
        <v>0</v>
      </c>
    </row>
    <row r="9" spans="1:7" x14ac:dyDescent="0.3">
      <c r="B9" s="1"/>
    </row>
    <row r="10" spans="1:7" x14ac:dyDescent="0.3">
      <c r="A10" t="s">
        <v>9</v>
      </c>
      <c r="B10" s="1">
        <f>$B$1*$B$2/(B5-$B$2)</f>
        <v>4.4247787610619467</v>
      </c>
      <c r="C10" t="s">
        <v>1</v>
      </c>
    </row>
    <row r="11" spans="1:7" x14ac:dyDescent="0.3">
      <c r="A11" t="s">
        <v>10</v>
      </c>
      <c r="B11" s="2">
        <f t="shared" ref="B11" si="0">$B$1*$B$2/(B6-$B$2)</f>
        <v>7.9365079365079367</v>
      </c>
      <c r="C11" s="3" t="s">
        <v>1</v>
      </c>
      <c r="D11" t="s">
        <v>11</v>
      </c>
      <c r="E11" s="1">
        <f>B11-B10</f>
        <v>3.5117291754459901</v>
      </c>
      <c r="F11" t="s">
        <v>1</v>
      </c>
    </row>
    <row r="12" spans="1:7" x14ac:dyDescent="0.3">
      <c r="A12" t="s">
        <v>12</v>
      </c>
      <c r="B12" s="1">
        <f>$B$1*$B$3/(B7-$B$3)</f>
        <v>4.166666666666667</v>
      </c>
      <c r="C12" t="s">
        <v>1</v>
      </c>
    </row>
    <row r="13" spans="1:7" x14ac:dyDescent="0.3">
      <c r="A13" t="s">
        <v>13</v>
      </c>
      <c r="B13" s="2">
        <f>$B$1*$B$3/(B8-$B$3)</f>
        <v>7.1428571428571423</v>
      </c>
      <c r="C13" s="3" t="s">
        <v>1</v>
      </c>
      <c r="D13" t="s">
        <v>11</v>
      </c>
      <c r="E13" s="1">
        <f>B13-B12</f>
        <v>2.9761904761904754</v>
      </c>
      <c r="F13" t="s">
        <v>1</v>
      </c>
    </row>
    <row r="15" spans="1:7" x14ac:dyDescent="0.3">
      <c r="A15" t="s">
        <v>14</v>
      </c>
      <c r="G15" t="s">
        <v>16</v>
      </c>
    </row>
    <row r="16" spans="1:7" x14ac:dyDescent="0.3">
      <c r="A16" t="s">
        <v>9</v>
      </c>
      <c r="B16">
        <v>4.7</v>
      </c>
      <c r="C16" t="s">
        <v>1</v>
      </c>
      <c r="G16" t="s">
        <v>20</v>
      </c>
    </row>
    <row r="17" spans="1:7" x14ac:dyDescent="0.3">
      <c r="A17" t="s">
        <v>10</v>
      </c>
      <c r="B17">
        <v>3.3</v>
      </c>
      <c r="C17" t="s">
        <v>1</v>
      </c>
      <c r="D17" t="s">
        <v>15</v>
      </c>
      <c r="E17">
        <f>B16+B17</f>
        <v>8</v>
      </c>
      <c r="G17" t="s">
        <v>18</v>
      </c>
    </row>
    <row r="18" spans="1:7" x14ac:dyDescent="0.3">
      <c r="A18" t="s">
        <v>12</v>
      </c>
      <c r="B18">
        <v>3.9</v>
      </c>
      <c r="C18" t="s">
        <v>1</v>
      </c>
      <c r="G18" t="s">
        <v>17</v>
      </c>
    </row>
    <row r="19" spans="1:7" x14ac:dyDescent="0.3">
      <c r="A19" t="s">
        <v>13</v>
      </c>
      <c r="B19">
        <v>2.7</v>
      </c>
      <c r="C19" t="s">
        <v>1</v>
      </c>
      <c r="D19" t="s">
        <v>15</v>
      </c>
      <c r="E19">
        <f>B18+B19</f>
        <v>6.6</v>
      </c>
      <c r="G19" t="s">
        <v>19</v>
      </c>
    </row>
    <row r="21" spans="1:7" x14ac:dyDescent="0.3">
      <c r="A21" t="s">
        <v>7</v>
      </c>
      <c r="B21">
        <f>$B$1*$B$2 / B16 + $B$2</f>
        <v>11.138297872340425</v>
      </c>
      <c r="D21" s="1">
        <f>B21-B5</f>
        <v>-0.66170212765957537</v>
      </c>
    </row>
    <row r="22" spans="1:7" x14ac:dyDescent="0.3">
      <c r="A22" t="s">
        <v>8</v>
      </c>
      <c r="B22">
        <f>$B$1*$B$2 / E17 + $B$2</f>
        <v>6.75</v>
      </c>
      <c r="D22" s="1">
        <f t="shared" ref="D22:D24" si="1">B22-B6</f>
        <v>-4.9999999999999822E-2</v>
      </c>
    </row>
    <row r="23" spans="1:7" x14ac:dyDescent="0.3">
      <c r="A23" t="s">
        <v>5</v>
      </c>
      <c r="B23">
        <f>$B$1*$B$3 / B18 + $B$3</f>
        <v>15.984615384615385</v>
      </c>
      <c r="D23" s="1">
        <f t="shared" si="1"/>
        <v>0.98461538461538467</v>
      </c>
    </row>
    <row r="24" spans="1:7" x14ac:dyDescent="0.3">
      <c r="A24" t="s">
        <v>6</v>
      </c>
      <c r="B24">
        <f>$B$1*$B$3 / E19 + $B$3</f>
        <v>9.6909090909090914</v>
      </c>
      <c r="D24" s="1">
        <f t="shared" si="1"/>
        <v>0.69090909090909136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Ulbrich</dc:creator>
  <cp:lastModifiedBy>Alexander Ulbrich</cp:lastModifiedBy>
  <dcterms:created xsi:type="dcterms:W3CDTF">2023-06-26T16:45:42Z</dcterms:created>
  <dcterms:modified xsi:type="dcterms:W3CDTF">2026-01-09T07:53:34Z</dcterms:modified>
</cp:coreProperties>
</file>
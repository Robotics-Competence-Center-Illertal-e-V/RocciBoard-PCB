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9b062107d55610/Projekte/RocciBoard/documentation/"/>
    </mc:Choice>
  </mc:AlternateContent>
  <xr:revisionPtr revIDLastSave="287" documentId="8_{C6776CA4-B74D-4C0F-B089-17B699095A0C}" xr6:coauthVersionLast="47" xr6:coauthVersionMax="47" xr10:uidLastSave="{9C09D687-6DA6-42B5-819F-1D5829715980}"/>
  <bookViews>
    <workbookView xWindow="-96" yWindow="0" windowWidth="11712" windowHeight="12336" xr2:uid="{A84654B7-0B6F-46B1-846E-9BEA41DFDE1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1" l="1"/>
  <c r="C16" i="1"/>
  <c r="D16" i="1"/>
  <c r="C21" i="1"/>
  <c r="C32" i="1" s="1"/>
  <c r="D21" i="1"/>
  <c r="D26" i="1" s="1"/>
  <c r="C22" i="1"/>
  <c r="C29" i="1" s="1"/>
  <c r="D22" i="1"/>
  <c r="D28" i="1" s="1"/>
  <c r="C14" i="1"/>
  <c r="C13" i="1" s="1"/>
  <c r="C12" i="1" s="1"/>
  <c r="D14" i="1"/>
  <c r="D13" i="1" s="1"/>
  <c r="D12" i="1" s="1"/>
  <c r="B13" i="1"/>
  <c r="B12" i="1" s="1"/>
  <c r="B14" i="1"/>
  <c r="B16" i="1"/>
  <c r="C8" i="1"/>
  <c r="D8" i="1"/>
  <c r="C9" i="1"/>
  <c r="D9" i="1"/>
  <c r="B9" i="1"/>
  <c r="B31" i="1" s="1"/>
  <c r="B8" i="1"/>
  <c r="B22" i="1"/>
  <c r="B29" i="1" s="1"/>
  <c r="D31" i="1" l="1"/>
  <c r="C26" i="1"/>
  <c r="C25" i="1"/>
  <c r="D25" i="1"/>
  <c r="C31" i="1"/>
  <c r="D29" i="1"/>
  <c r="C28" i="1"/>
  <c r="D32" i="1"/>
  <c r="B21" i="1"/>
  <c r="B26" i="1" s="1"/>
  <c r="B28" i="1"/>
  <c r="B25" i="1" l="1"/>
</calcChain>
</file>

<file path=xl/sharedStrings.xml><?xml version="1.0" encoding="utf-8"?>
<sst xmlns="http://schemas.openxmlformats.org/spreadsheetml/2006/main" count="35" uniqueCount="27">
  <si>
    <t>R1</t>
  </si>
  <si>
    <t>R2</t>
  </si>
  <si>
    <t>R3</t>
  </si>
  <si>
    <t>V_ITP</t>
  </si>
  <si>
    <t>V_hys</t>
  </si>
  <si>
    <t>V_Mon</t>
  </si>
  <si>
    <t>V_Mon(OV)</t>
  </si>
  <si>
    <t>V_Mon(UV)</t>
  </si>
  <si>
    <t>RT</t>
  </si>
  <si>
    <t>F1</t>
  </si>
  <si>
    <t>F2</t>
  </si>
  <si>
    <t>U1_NOM</t>
  </si>
  <si>
    <t>U1_UV</t>
  </si>
  <si>
    <t>U2_OV</t>
  </si>
  <si>
    <t>U2_NOM</t>
  </si>
  <si>
    <t>V_th_UV (A)</t>
  </si>
  <si>
    <t>V_th_OV (B)</t>
  </si>
  <si>
    <t>triggers when lower</t>
  </si>
  <si>
    <t>triggers when higher</t>
  </si>
  <si>
    <t>should be ~ 0,4</t>
  </si>
  <si>
    <t>U_OV_real</t>
  </si>
  <si>
    <t>U_UV_real</t>
  </si>
  <si>
    <t xml:space="preserve">Test from Datasheet </t>
  </si>
  <si>
    <t>5V supply</t>
  </si>
  <si>
    <t>3,3V supply</t>
  </si>
  <si>
    <t>Aus der E24 Reihe</t>
  </si>
  <si>
    <t>sollte dem input von Oben entpsrechen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</si>
</sst>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2CD98-A131-429C-B75A-1FA1D2D0DFDB}">
  <dimension ref="A1:E32"/>
  <sheetViews>
    <sheetView tabSelected="1" topLeftCell="A10" workbookViewId="0">
      <selection activeCell="C20" sqref="C20"/>
    </sheetView>
  </sheetViews>
  <sheetFormatPr baseColWidth="10" defaultRowHeight="14.4" x14ac:dyDescent="0.3"/>
  <cols>
    <col min="2" max="2" width="17.44140625" bestFit="1" customWidth="1"/>
  </cols>
  <sheetData>
    <row r="1" spans="1:5" x14ac:dyDescent="0.3">
      <c r="B1" t="s">
        <v>22</v>
      </c>
      <c r="C1" t="s">
        <v>23</v>
      </c>
      <c r="D1" t="s">
        <v>24</v>
      </c>
    </row>
    <row r="2" spans="1:5" x14ac:dyDescent="0.3">
      <c r="A2" t="s">
        <v>3</v>
      </c>
      <c r="B2">
        <v>0.4</v>
      </c>
      <c r="C2">
        <v>0.4</v>
      </c>
      <c r="D2">
        <v>0.4</v>
      </c>
    </row>
    <row r="3" spans="1:5" x14ac:dyDescent="0.3">
      <c r="A3" t="s">
        <v>4</v>
      </c>
      <c r="B3">
        <v>5.4999999999999997E-3</v>
      </c>
      <c r="C3">
        <v>5.4999999999999997E-3</v>
      </c>
      <c r="D3">
        <v>5.4999999999999997E-3</v>
      </c>
    </row>
    <row r="4" spans="1:5" x14ac:dyDescent="0.3">
      <c r="A4" t="s">
        <v>5</v>
      </c>
      <c r="B4" s="1">
        <v>12</v>
      </c>
      <c r="C4" s="1">
        <v>5</v>
      </c>
      <c r="D4" s="1">
        <v>3.3</v>
      </c>
    </row>
    <row r="5" spans="1:5" x14ac:dyDescent="0.3">
      <c r="A5" t="s">
        <v>6</v>
      </c>
      <c r="B5" s="1">
        <v>13.14</v>
      </c>
      <c r="C5" s="1">
        <v>5.5</v>
      </c>
      <c r="D5" s="1">
        <v>3.6</v>
      </c>
    </row>
    <row r="6" spans="1:5" x14ac:dyDescent="0.3">
      <c r="A6" t="s">
        <v>7</v>
      </c>
      <c r="B6" s="1">
        <v>10.99</v>
      </c>
      <c r="C6" s="1">
        <v>4.5</v>
      </c>
      <c r="D6" s="1">
        <v>3</v>
      </c>
    </row>
    <row r="8" spans="1:5" x14ac:dyDescent="0.3">
      <c r="A8" t="s">
        <v>15</v>
      </c>
      <c r="B8">
        <f>B2-B3</f>
        <v>0.39450000000000002</v>
      </c>
      <c r="C8">
        <f t="shared" ref="C8:D8" si="0">C2-C3</f>
        <v>0.39450000000000002</v>
      </c>
      <c r="D8">
        <f t="shared" si="0"/>
        <v>0.39450000000000002</v>
      </c>
      <c r="E8" t="s">
        <v>17</v>
      </c>
    </row>
    <row r="9" spans="1:5" x14ac:dyDescent="0.3">
      <c r="A9" t="s">
        <v>16</v>
      </c>
      <c r="B9">
        <f>B2</f>
        <v>0.4</v>
      </c>
      <c r="C9">
        <f t="shared" ref="C9:D9" si="1">C2</f>
        <v>0.4</v>
      </c>
      <c r="D9">
        <f t="shared" si="1"/>
        <v>0.4</v>
      </c>
      <c r="E9" t="s">
        <v>18</v>
      </c>
    </row>
    <row r="11" spans="1:5" x14ac:dyDescent="0.3">
      <c r="A11" t="s">
        <v>8</v>
      </c>
      <c r="B11" s="1">
        <v>2293.5</v>
      </c>
      <c r="C11" s="1">
        <v>500</v>
      </c>
      <c r="D11" s="1">
        <v>600</v>
      </c>
    </row>
    <row r="12" spans="1:5" x14ac:dyDescent="0.3">
      <c r="A12" t="s">
        <v>0</v>
      </c>
      <c r="B12">
        <f>B11-(B13+B14)</f>
        <v>2211.171906278435</v>
      </c>
      <c r="C12">
        <f t="shared" ref="C12:D12" si="2">C11-(C13+C14)</f>
        <v>456.16666666666669</v>
      </c>
      <c r="D12">
        <f t="shared" si="2"/>
        <v>521.1</v>
      </c>
    </row>
    <row r="13" spans="1:5" x14ac:dyDescent="0.3">
      <c r="A13" t="s">
        <v>1</v>
      </c>
      <c r="B13">
        <f>(B11/B6)*(B2-B3)-B14</f>
        <v>12.510742123391537</v>
      </c>
      <c r="C13">
        <f t="shared" ref="C13:D13" si="3">(C11/C6)*(C2-C3)-C14</f>
        <v>7.4696969696969688</v>
      </c>
      <c r="D13">
        <f t="shared" si="3"/>
        <v>12.233333333333334</v>
      </c>
    </row>
    <row r="14" spans="1:5" x14ac:dyDescent="0.3">
      <c r="A14" t="s">
        <v>2</v>
      </c>
      <c r="B14">
        <f>B2*B11/B5</f>
        <v>69.817351598173516</v>
      </c>
      <c r="C14">
        <f t="shared" ref="C14:D14" si="4">C2*C11/C5</f>
        <v>36.363636363636367</v>
      </c>
      <c r="D14">
        <f t="shared" si="4"/>
        <v>66.666666666666671</v>
      </c>
    </row>
    <row r="16" spans="1:5" x14ac:dyDescent="0.3">
      <c r="A16" t="s">
        <v>8</v>
      </c>
      <c r="B16">
        <f>SUM(B17:B19)</f>
        <v>2293.5</v>
      </c>
      <c r="C16">
        <f t="shared" ref="C16:D16" si="5">SUM(C17:C19)</f>
        <v>516.5</v>
      </c>
      <c r="D16">
        <f t="shared" si="5"/>
        <v>590</v>
      </c>
    </row>
    <row r="17" spans="1:5" x14ac:dyDescent="0.3">
      <c r="A17" t="s">
        <v>0</v>
      </c>
      <c r="B17" s="1">
        <v>2210</v>
      </c>
      <c r="C17" s="1">
        <v>470</v>
      </c>
      <c r="D17" s="1">
        <v>510</v>
      </c>
      <c r="E17" t="s">
        <v>25</v>
      </c>
    </row>
    <row r="18" spans="1:5" x14ac:dyDescent="0.3">
      <c r="A18" t="s">
        <v>1</v>
      </c>
      <c r="B18" s="1">
        <v>13.7</v>
      </c>
      <c r="C18" s="1">
        <v>7.5</v>
      </c>
      <c r="D18" s="1">
        <v>12</v>
      </c>
      <c r="E18" t="s">
        <v>25</v>
      </c>
    </row>
    <row r="19" spans="1:5" x14ac:dyDescent="0.3">
      <c r="A19" t="s">
        <v>2</v>
      </c>
      <c r="B19" s="1">
        <v>69.8</v>
      </c>
      <c r="C19" s="1">
        <v>39</v>
      </c>
      <c r="D19" s="1">
        <v>68</v>
      </c>
      <c r="E19" t="s">
        <v>25</v>
      </c>
    </row>
    <row r="21" spans="1:5" x14ac:dyDescent="0.3">
      <c r="A21" t="s">
        <v>9</v>
      </c>
      <c r="B21">
        <f>(B18+B19)/(B17+B18+B19)</f>
        <v>3.6407237846086765E-2</v>
      </c>
      <c r="C21">
        <f t="shared" ref="C21:D21" si="6">(C18+C19)/(C17+C18+C19)</f>
        <v>9.0029041626331074E-2</v>
      </c>
      <c r="D21">
        <f t="shared" si="6"/>
        <v>0.13559322033898305</v>
      </c>
    </row>
    <row r="22" spans="1:5" x14ac:dyDescent="0.3">
      <c r="A22" t="s">
        <v>10</v>
      </c>
      <c r="B22">
        <f>(B19)/(B17+B18+B19)</f>
        <v>3.043383475038151E-2</v>
      </c>
      <c r="C22">
        <f t="shared" ref="C22:D22" si="7">(C19)/(C17+C18+C19)</f>
        <v>7.5508228460793803E-2</v>
      </c>
      <c r="D22">
        <f t="shared" si="7"/>
        <v>0.11525423728813559</v>
      </c>
    </row>
    <row r="25" spans="1:5" x14ac:dyDescent="0.3">
      <c r="A25" t="s">
        <v>11</v>
      </c>
      <c r="B25">
        <f>B21*B4</f>
        <v>0.43688685415304118</v>
      </c>
      <c r="C25">
        <f t="shared" ref="C25:D25" si="8">C21*C4</f>
        <v>0.45014520813165537</v>
      </c>
      <c r="D25">
        <f t="shared" si="8"/>
        <v>0.44745762711864406</v>
      </c>
    </row>
    <row r="26" spans="1:5" x14ac:dyDescent="0.3">
      <c r="A26" t="s">
        <v>12</v>
      </c>
      <c r="B26">
        <f>B21*B6</f>
        <v>0.40011554392849358</v>
      </c>
      <c r="C26">
        <f t="shared" ref="C26:D26" si="9">C21*C6</f>
        <v>0.40513068731848983</v>
      </c>
      <c r="D26">
        <f t="shared" si="9"/>
        <v>0.40677966101694918</v>
      </c>
      <c r="E26" t="s">
        <v>19</v>
      </c>
    </row>
    <row r="28" spans="1:5" x14ac:dyDescent="0.3">
      <c r="A28" t="s">
        <v>13</v>
      </c>
      <c r="B28">
        <f>B22*B5</f>
        <v>0.39990058862001304</v>
      </c>
      <c r="C28">
        <f t="shared" ref="C28:D28" si="10">C22*C5</f>
        <v>0.41529525653436594</v>
      </c>
      <c r="D28">
        <f t="shared" si="10"/>
        <v>0.41491525423728814</v>
      </c>
      <c r="E28" t="s">
        <v>19</v>
      </c>
    </row>
    <row r="29" spans="1:5" x14ac:dyDescent="0.3">
      <c r="A29" t="s">
        <v>14</v>
      </c>
      <c r="B29">
        <f>B22*B4</f>
        <v>0.36520601700457811</v>
      </c>
      <c r="C29">
        <f t="shared" ref="C29:D29" si="11">C22*C4</f>
        <v>0.37754114230396901</v>
      </c>
      <c r="D29">
        <f t="shared" si="11"/>
        <v>0.38033898305084746</v>
      </c>
    </row>
    <row r="31" spans="1:5" x14ac:dyDescent="0.3">
      <c r="A31" t="s">
        <v>20</v>
      </c>
      <c r="B31" s="2">
        <f>B9/B22</f>
        <v>13.143266475644701</v>
      </c>
      <c r="C31" s="2">
        <f t="shared" ref="C31:D31" si="12">C9/C22</f>
        <v>5.2974358974358982</v>
      </c>
      <c r="D31" s="2">
        <f t="shared" si="12"/>
        <v>3.4705882352941178</v>
      </c>
      <c r="E31" t="s">
        <v>26</v>
      </c>
    </row>
    <row r="32" spans="1:5" x14ac:dyDescent="0.3">
      <c r="A32" t="s">
        <v>21</v>
      </c>
      <c r="B32" s="2">
        <f>B9/B21</f>
        <v>10.98682634730539</v>
      </c>
      <c r="C32" s="2">
        <f t="shared" ref="C32:D32" si="13">C8/C21</f>
        <v>4.3819193548387103</v>
      </c>
      <c r="D32" s="2">
        <f t="shared" si="13"/>
        <v>2.9094375000000001</v>
      </c>
      <c r="E32" t="s">
        <v>26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Ulbrich</dc:creator>
  <cp:lastModifiedBy>Alexander Ulbrich</cp:lastModifiedBy>
  <dcterms:created xsi:type="dcterms:W3CDTF">2026-01-09T08:42:54Z</dcterms:created>
  <dcterms:modified xsi:type="dcterms:W3CDTF">2026-01-09T21:28:05Z</dcterms:modified>
</cp:coreProperties>
</file>